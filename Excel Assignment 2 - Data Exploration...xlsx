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cuments\Data Analytics\"/>
    </mc:Choice>
  </mc:AlternateContent>
  <xr:revisionPtr revIDLastSave="0" documentId="13_ncr:2001_{653F1441-0000-41CF-B8BD-E065F6395CD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ataset" sheetId="1" r:id="rId1"/>
  </sheets>
  <definedNames>
    <definedName name="_xlnm._FilterDatabase" localSheetId="0" hidden="1">Dataset!$A$1:$K$35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2" i="1"/>
  <c r="M2" i="1"/>
</calcChain>
</file>

<file path=xl/sharedStrings.xml><?xml version="1.0" encoding="utf-8"?>
<sst xmlns="http://schemas.openxmlformats.org/spreadsheetml/2006/main" count="179" uniqueCount="110">
  <si>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</si>
  <si>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</si>
  <si>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</si>
  <si>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</si>
  <si>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</si>
  <si>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</si>
  <si>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</si>
  <si>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</si>
  <si>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</si>
  <si>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</si>
  <si>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</si>
  <si>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</si>
  <si>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</si>
  <si>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</si>
  <si>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</si>
  <si>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</si>
  <si>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</si>
  <si>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</si>
  <si>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</si>
  <si>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</si>
  <si>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</si>
  <si>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</si>
  <si>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</si>
  <si>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</si>
  <si>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Outdoor</t>
  </si>
  <si>
    <t>07-JUN-UK</t>
  </si>
  <si>
    <t>Headphones</t>
  </si>
  <si>
    <t>Sony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</si>
  <si>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</si>
  <si>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</si>
  <si>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</si>
  <si>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</si>
  <si>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</si>
  <si>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</si>
  <si>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</si>
  <si>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</si>
  <si>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</si>
  <si>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</si>
  <si>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</si>
  <si>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</si>
  <si>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17-JUN-IN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</si>
  <si>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</si>
  <si>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</si>
  <si>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</si>
  <si>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</si>
  <si>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</si>
  <si>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</si>
  <si>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</si>
  <si>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</si>
  <si>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</si>
  <si>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</si>
  <si>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</si>
  <si>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</si>
  <si>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</si>
  <si>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</si>
  <si>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</si>
  <si>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</si>
  <si>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</si>
  <si>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</si>
  <si>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</si>
  <si>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</si>
  <si>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</si>
  <si>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</si>
  <si>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</si>
  <si>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Camera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</si>
  <si>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</si>
  <si>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</si>
  <si>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</si>
  <si>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</si>
  <si>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</si>
  <si>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</si>
  <si>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</si>
  <si>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</si>
  <si>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</si>
  <si>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</si>
  <si>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</si>
  <si>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</si>
  <si>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</si>
  <si>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</si>
  <si>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</si>
  <si>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</si>
  <si>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</si>
  <si>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</si>
  <si>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</si>
  <si>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</si>
  <si>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</si>
  <si>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</si>
  <si>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</si>
  <si>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</si>
  <si>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</si>
  <si>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</si>
  <si>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Kitchenn</t>
  </si>
  <si>
    <t>Outdor</t>
  </si>
  <si>
    <t>COUNTBLANK</t>
  </si>
  <si>
    <t>Price ($).</t>
  </si>
  <si>
    <t>Category.</t>
  </si>
  <si>
    <t>Manufcaturing Date</t>
  </si>
  <si>
    <t>Country Code</t>
  </si>
  <si>
    <t>US</t>
  </si>
  <si>
    <t>UK</t>
  </si>
  <si>
    <t>AU</t>
  </si>
  <si>
    <t>DE</t>
  </si>
  <si>
    <t>CA</t>
  </si>
  <si>
    <t>ES</t>
  </si>
  <si>
    <t>CN</t>
  </si>
  <si>
    <t>IT</t>
  </si>
  <si>
    <t>BR</t>
  </si>
  <si>
    <t>IN</t>
  </si>
  <si>
    <t>FR</t>
  </si>
  <si>
    <t>Product Brand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</si>
</sst>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6" formatCode="_([$$-409]* #,##0.00_);_([$$-409]* \(#,##0.00\);_([$$-409]* &quot;-&quot;??_);_(@_)"/>
    <numFmt numFmtId="169" formatCode="[$-409]d\-mmm\-yyyy;@"/>
  </numFmts>
  <fonts count="7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</font>
    <font>
      <sz val="10"/>
      <color rgb="FF000000"/>
      <name val="Arial"/>
      <scheme val="minor"/>
    </font>
    <font>
      <sz val="10"/>
      <color theme="1"/>
      <name val="Arial"/>
      <family val="2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/>
    <xf numFmtId="0" fontId="2" fillId="3" borderId="1" xfId="0" applyFont="1" applyFill="1" applyBorder="1"/>
    <xf numFmtId="0" fontId="2" fillId="0" borderId="1" xfId="0" applyFont="1" applyFill="1" applyBorder="1"/>
    <xf numFmtId="0" fontId="5" fillId="0" borderId="0" xfId="0" applyFont="1"/>
    <xf numFmtId="0" fontId="6" fillId="2" borderId="1" xfId="0" applyFont="1" applyFill="1" applyBorder="1" applyAlignment="1">
      <alignment horizontal="center"/>
    </xf>
    <xf numFmtId="0" fontId="4" fillId="3" borderId="1" xfId="0" applyFont="1" applyFill="1" applyBorder="1"/>
    <xf numFmtId="0" fontId="4" fillId="0" borderId="1" xfId="0" applyFont="1" applyBorder="1"/>
    <xf numFmtId="0" fontId="6" fillId="2" borderId="2" xfId="0" applyFont="1" applyFill="1" applyBorder="1" applyAlignment="1">
      <alignment horizontal="center"/>
    </xf>
    <xf numFmtId="49" fontId="2" fillId="0" borderId="1" xfId="0" applyNumberFormat="1" applyFont="1" applyBorder="1"/>
    <xf numFmtId="49" fontId="2" fillId="3" borderId="1" xfId="0" applyNumberFormat="1" applyFont="1" applyFill="1" applyBorder="1"/>
    <xf numFmtId="49" fontId="2" fillId="0" borderId="1" xfId="0" applyNumberFormat="1" applyFont="1" applyFill="1" applyBorder="1"/>
    <xf numFmtId="166" fontId="2" fillId="0" borderId="1" xfId="0" applyNumberFormat="1" applyFont="1" applyBorder="1"/>
    <xf numFmtId="166" fontId="2" fillId="3" borderId="1" xfId="0" applyNumberFormat="1" applyFont="1" applyFill="1" applyBorder="1"/>
    <xf numFmtId="166" fontId="2" fillId="0" borderId="1" xfId="0" applyNumberFormat="1" applyFont="1" applyFill="1" applyBorder="1"/>
    <xf numFmtId="169" fontId="2" fillId="0" borderId="1" xfId="0" applyNumberFormat="1" applyFont="1" applyBorder="1"/>
    <xf numFmtId="169" fontId="2" fillId="3" borderId="1" xfId="0" applyNumberFormat="1" applyFont="1" applyFill="1" applyBorder="1"/>
    <xf numFmtId="169" fontId="2" fillId="0" borderId="1" xfId="0" applyNumberFormat="1" applyFont="1" applyFill="1" applyBorder="1"/>
    <xf numFmtId="44" fontId="6" fillId="2" borderId="1" xfId="1" applyFont="1" applyFill="1" applyBorder="1" applyAlignment="1">
      <alignment horizontal="center"/>
    </xf>
    <xf numFmtId="44" fontId="0" fillId="0" borderId="0" xfId="1" applyFont="1"/>
  </cellXfs>
  <cellStyles count="2">
    <cellStyle name="Currency" xfId="1" builtinId="4"/>
    <cellStyle name="Normal" xfId="0" builtinId="0"/>
  </cellStyles>
  <dxfs count="1">
    <dxf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M1000"/>
  <sheetViews>
    <sheetView tabSelected="1" workbookViewId="0">
      <selection activeCell="N23" sqref="N23"/>
    </sheetView>
  </sheetViews>
  <sheetFormatPr defaultColWidth="12.5703125" defaultRowHeight="15" customHeight="1" x14ac:dyDescent="0.2"/>
  <cols>
    <col min="1" max="1" width="14.7109375" customWidth="1"/>
    <col min="2" max="2" width="20" customWidth="1"/>
    <col min="3" max="3" width="17.42578125" customWidth="1"/>
    <col min="4" max="4" width="14.140625" customWidth="1"/>
    <col min="5" max="5" width="13.7109375" customWidth="1"/>
    <col min="6" max="6" width="20.5703125" customWidth="1"/>
    <col min="7" max="7" width="13.140625" customWidth="1"/>
    <col min="9" max="9" width="12.7109375" customWidth="1"/>
    <col min="10" max="10" width="12.5703125" style="20"/>
    <col min="12" max="12" width="13.85546875" customWidth="1"/>
  </cols>
  <sheetData>
    <row r="1" spans="1:13" ht="15.75" customHeight="1" x14ac:dyDescent="0.2">
      <c r="A1" s="1" t="s">
        <v>0</v>
      </c>
      <c r="B1" s="9" t="s">
        <v>96</v>
      </c>
      <c r="C1" s="9" t="s">
        <v>97</v>
      </c>
      <c r="D1" s="6" t="s">
        <v>1</v>
      </c>
      <c r="E1" s="1" t="s">
        <v>2</v>
      </c>
      <c r="F1" s="6" t="s">
        <v>109</v>
      </c>
      <c r="G1" s="1" t="s">
        <v>3</v>
      </c>
      <c r="H1" s="1" t="s">
        <v>4</v>
      </c>
      <c r="I1" s="1" t="s">
        <v>5</v>
      </c>
      <c r="J1" s="19" t="s">
        <v>94</v>
      </c>
      <c r="K1" s="6" t="s">
        <v>95</v>
      </c>
    </row>
    <row r="2" spans="1:13" ht="15.75" customHeight="1" x14ac:dyDescent="0.2">
      <c r="A2" s="2" t="s">
        <v>6</v>
      </c>
      <c r="B2" s="16">
        <v>28</v>
      </c>
      <c r="C2" s="10" t="s">
        <v>98</v>
      </c>
      <c r="D2" s="8" t="s">
        <v>7</v>
      </c>
      <c r="E2" s="2" t="s">
        <v>8</v>
      </c>
      <c r="F2" s="2" t="str">
        <f>CONCATENATE(E2," ",D2)</f>
        <v>Dell Laptop</v>
      </c>
      <c r="G2" s="13">
        <v>1000</v>
      </c>
      <c r="H2" s="2">
        <v>30</v>
      </c>
      <c r="I2" s="2" t="s">
        <v>9</v>
      </c>
      <c r="J2" s="13">
        <f>IF(ISBLANK(G2),AVERAGE($G$2:$G$35),G2)</f>
        <v>1000</v>
      </c>
      <c r="K2" s="2" t="str">
        <f>IF(ISBLANK(I2),"Unknown",I2)</f>
        <v>Electronics</v>
      </c>
      <c r="L2" s="5" t="s">
        <v>93</v>
      </c>
      <c r="M2">
        <f>COUNTBLANK(G2:G35)</f>
        <v>6</v>
      </c>
    </row>
    <row r="3" spans="1:13" ht="15.75" customHeight="1" x14ac:dyDescent="0.2">
      <c r="A3" s="3" t="s">
        <v>10</v>
      </c>
      <c r="B3" s="17">
        <v>15</v>
      </c>
      <c r="C3" s="11" t="s">
        <v>98</v>
      </c>
      <c r="D3" s="7" t="s">
        <v>11</v>
      </c>
      <c r="E3" s="3" t="s">
        <v>12</v>
      </c>
      <c r="F3" s="3" t="str">
        <f t="shared" ref="F3:F35" si="0">CONCATENATE(E3," ",D3)</f>
        <v>Nike Sneakers</v>
      </c>
      <c r="G3" s="14">
        <v>80</v>
      </c>
      <c r="H3" s="3">
        <v>15</v>
      </c>
      <c r="I3" s="3" t="s">
        <v>13</v>
      </c>
      <c r="J3" s="14">
        <f t="shared" ref="J3:J35" si="1">IF(ISBLANK(G3),AVERAGE($G$2:$G$35),G3)</f>
        <v>80</v>
      </c>
      <c r="K3" s="3" t="str">
        <f t="shared" ref="K3:K35" si="2">IF(ISBLANK(I3),"Unknown",I3)</f>
        <v>Fashion</v>
      </c>
    </row>
    <row r="4" spans="1:13" ht="15.75" customHeight="1" x14ac:dyDescent="0.2">
      <c r="A4" s="2" t="s">
        <v>14</v>
      </c>
      <c r="B4" s="16">
        <v>3</v>
      </c>
      <c r="C4" s="10" t="s">
        <v>98</v>
      </c>
      <c r="D4" s="8" t="s">
        <v>15</v>
      </c>
      <c r="E4" s="2" t="s">
        <v>16</v>
      </c>
      <c r="F4" s="2" t="str">
        <f t="shared" si="0"/>
        <v>Keurig Coffee Maker</v>
      </c>
      <c r="G4" s="13">
        <v>130</v>
      </c>
      <c r="H4" s="2">
        <v>40</v>
      </c>
      <c r="I4" s="2"/>
      <c r="J4" s="13">
        <f t="shared" si="1"/>
        <v>130</v>
      </c>
      <c r="K4" s="2" t="str">
        <f t="shared" si="2"/>
        <v>Unknown</v>
      </c>
    </row>
    <row r="5" spans="1:13" ht="15.75" customHeight="1" x14ac:dyDescent="0.2">
      <c r="A5" s="3" t="s">
        <v>18</v>
      </c>
      <c r="B5" s="17">
        <v>11</v>
      </c>
      <c r="C5" s="11" t="s">
        <v>98</v>
      </c>
      <c r="D5" s="7" t="s">
        <v>19</v>
      </c>
      <c r="E5" s="3" t="s">
        <v>20</v>
      </c>
      <c r="F5" s="3" t="str">
        <f t="shared" si="0"/>
        <v>Samsung Smartphone</v>
      </c>
      <c r="G5" s="14">
        <v>900</v>
      </c>
      <c r="H5" s="3">
        <v>25</v>
      </c>
      <c r="I5" s="3" t="s">
        <v>9</v>
      </c>
      <c r="J5" s="14">
        <f t="shared" si="1"/>
        <v>900</v>
      </c>
      <c r="K5" s="3" t="str">
        <f t="shared" si="2"/>
        <v>Electronics</v>
      </c>
    </row>
    <row r="6" spans="1:13" ht="15.75" customHeight="1" x14ac:dyDescent="0.2">
      <c r="A6" s="2" t="s">
        <v>21</v>
      </c>
      <c r="B6" s="16">
        <v>22</v>
      </c>
      <c r="C6" s="10" t="s">
        <v>98</v>
      </c>
      <c r="D6" s="8" t="s">
        <v>22</v>
      </c>
      <c r="E6" s="2" t="s">
        <v>23</v>
      </c>
      <c r="F6" s="2" t="str">
        <f t="shared" si="0"/>
        <v>North Face Backpack</v>
      </c>
      <c r="G6" s="13"/>
      <c r="H6" s="2">
        <v>20</v>
      </c>
      <c r="I6" s="2" t="s">
        <v>92</v>
      </c>
      <c r="J6" s="13">
        <f t="shared" si="1"/>
        <v>297.85714285714283</v>
      </c>
      <c r="K6" s="2" t="str">
        <f t="shared" si="2"/>
        <v>Outdor</v>
      </c>
    </row>
    <row r="7" spans="1:13" ht="15.75" customHeight="1" x14ac:dyDescent="0.2">
      <c r="A7" s="3" t="s">
        <v>25</v>
      </c>
      <c r="B7" s="17">
        <v>7</v>
      </c>
      <c r="C7" s="11" t="s">
        <v>99</v>
      </c>
      <c r="D7" s="7" t="s">
        <v>26</v>
      </c>
      <c r="E7" s="3" t="s">
        <v>27</v>
      </c>
      <c r="F7" s="3" t="str">
        <f t="shared" si="0"/>
        <v>Sony Headphones</v>
      </c>
      <c r="G7" s="14">
        <v>200</v>
      </c>
      <c r="H7" s="3">
        <v>45</v>
      </c>
      <c r="I7" s="3" t="s">
        <v>9</v>
      </c>
      <c r="J7" s="14">
        <f t="shared" si="1"/>
        <v>200</v>
      </c>
      <c r="K7" s="3" t="str">
        <f t="shared" si="2"/>
        <v>Electronics</v>
      </c>
    </row>
    <row r="8" spans="1:13" ht="15.75" customHeight="1" x14ac:dyDescent="0.2">
      <c r="A8" s="2" t="s">
        <v>28</v>
      </c>
      <c r="B8" s="16">
        <v>19</v>
      </c>
      <c r="C8" s="10" t="s">
        <v>99</v>
      </c>
      <c r="D8" s="8" t="s">
        <v>29</v>
      </c>
      <c r="E8" s="2" t="s">
        <v>30</v>
      </c>
      <c r="F8" s="2" t="str">
        <f t="shared" si="0"/>
        <v>Adidas T-shirt</v>
      </c>
      <c r="G8" s="13">
        <v>30</v>
      </c>
      <c r="H8" s="2">
        <v>5</v>
      </c>
      <c r="I8" s="2" t="s">
        <v>13</v>
      </c>
      <c r="J8" s="13">
        <f t="shared" si="1"/>
        <v>30</v>
      </c>
      <c r="K8" s="2" t="str">
        <f t="shared" si="2"/>
        <v>Fashion</v>
      </c>
    </row>
    <row r="9" spans="1:13" ht="15.75" customHeight="1" x14ac:dyDescent="0.2">
      <c r="A9" s="3" t="s">
        <v>31</v>
      </c>
      <c r="B9" s="17">
        <v>23</v>
      </c>
      <c r="C9" s="11" t="s">
        <v>99</v>
      </c>
      <c r="D9" s="7" t="s">
        <v>32</v>
      </c>
      <c r="E9" s="3" t="s">
        <v>33</v>
      </c>
      <c r="F9" s="3" t="str">
        <f t="shared" si="0"/>
        <v>Ninja Blender</v>
      </c>
      <c r="G9" s="14">
        <v>90</v>
      </c>
      <c r="H9" s="3">
        <v>35</v>
      </c>
      <c r="I9" s="3" t="s">
        <v>17</v>
      </c>
      <c r="J9" s="14">
        <f t="shared" si="1"/>
        <v>90</v>
      </c>
      <c r="K9" s="3" t="str">
        <f t="shared" si="2"/>
        <v>Kitchen</v>
      </c>
    </row>
    <row r="10" spans="1:13" ht="15.75" customHeight="1" x14ac:dyDescent="0.2">
      <c r="A10" s="2" t="s">
        <v>34</v>
      </c>
      <c r="B10" s="16">
        <v>5</v>
      </c>
      <c r="C10" s="10" t="s">
        <v>99</v>
      </c>
      <c r="D10" s="8" t="s">
        <v>35</v>
      </c>
      <c r="E10" s="2" t="s">
        <v>36</v>
      </c>
      <c r="F10" s="2" t="str">
        <f t="shared" si="0"/>
        <v>Apple Tablet</v>
      </c>
      <c r="G10" s="13">
        <v>500</v>
      </c>
      <c r="H10" s="2">
        <v>50</v>
      </c>
      <c r="I10" s="2" t="s">
        <v>9</v>
      </c>
      <c r="J10" s="13">
        <f t="shared" si="1"/>
        <v>500</v>
      </c>
      <c r="K10" s="2" t="str">
        <f t="shared" si="2"/>
        <v>Electronics</v>
      </c>
    </row>
    <row r="11" spans="1:13" ht="15.75" customHeight="1" x14ac:dyDescent="0.2">
      <c r="A11" s="3" t="s">
        <v>37</v>
      </c>
      <c r="B11" s="17">
        <v>14</v>
      </c>
      <c r="C11" s="11" t="s">
        <v>99</v>
      </c>
      <c r="D11" s="7" t="s">
        <v>38</v>
      </c>
      <c r="E11" s="3" t="s">
        <v>39</v>
      </c>
      <c r="F11" s="3" t="str">
        <f t="shared" si="0"/>
        <v>Timberland Hiking Boots</v>
      </c>
      <c r="G11" s="14">
        <v>130</v>
      </c>
      <c r="H11" s="3">
        <v>10</v>
      </c>
      <c r="I11" s="3" t="s">
        <v>24</v>
      </c>
      <c r="J11" s="14">
        <f t="shared" si="1"/>
        <v>130</v>
      </c>
      <c r="K11" s="3" t="str">
        <f t="shared" si="2"/>
        <v>Outdoor</v>
      </c>
    </row>
    <row r="12" spans="1:13" ht="15.75" customHeight="1" x14ac:dyDescent="0.2">
      <c r="A12" s="4" t="s">
        <v>25</v>
      </c>
      <c r="B12" s="18">
        <v>7</v>
      </c>
      <c r="C12" s="12" t="s">
        <v>99</v>
      </c>
      <c r="D12" s="8" t="s">
        <v>7</v>
      </c>
      <c r="E12" s="4" t="s">
        <v>27</v>
      </c>
      <c r="F12" s="4" t="str">
        <f t="shared" si="0"/>
        <v>Sony Laptop</v>
      </c>
      <c r="G12" s="15">
        <v>200</v>
      </c>
      <c r="H12" s="4">
        <v>45</v>
      </c>
      <c r="I12" s="4" t="s">
        <v>9</v>
      </c>
      <c r="J12" s="15">
        <f t="shared" si="1"/>
        <v>200</v>
      </c>
      <c r="K12" s="4" t="str">
        <f t="shared" si="2"/>
        <v>Electronics</v>
      </c>
    </row>
    <row r="13" spans="1:13" ht="15.75" customHeight="1" x14ac:dyDescent="0.2">
      <c r="A13" s="3" t="s">
        <v>42</v>
      </c>
      <c r="B13" s="17">
        <v>25</v>
      </c>
      <c r="C13" s="11" t="s">
        <v>100</v>
      </c>
      <c r="D13" s="7" t="s">
        <v>11</v>
      </c>
      <c r="E13" s="3" t="s">
        <v>30</v>
      </c>
      <c r="F13" s="3" t="str">
        <f t="shared" si="0"/>
        <v>Adidas Sneakers</v>
      </c>
      <c r="G13" s="14">
        <v>90</v>
      </c>
      <c r="H13" s="3">
        <v>40</v>
      </c>
      <c r="I13" s="3" t="s">
        <v>13</v>
      </c>
      <c r="J13" s="14">
        <f t="shared" si="1"/>
        <v>90</v>
      </c>
      <c r="K13" s="3" t="str">
        <f t="shared" si="2"/>
        <v>Fashion</v>
      </c>
    </row>
    <row r="14" spans="1:13" ht="15.75" customHeight="1" x14ac:dyDescent="0.2">
      <c r="A14" s="2" t="s">
        <v>43</v>
      </c>
      <c r="B14" s="16">
        <v>8</v>
      </c>
      <c r="C14" s="10" t="s">
        <v>101</v>
      </c>
      <c r="D14" s="8" t="s">
        <v>15</v>
      </c>
      <c r="E14" s="2" t="s">
        <v>44</v>
      </c>
      <c r="F14" s="2" t="str">
        <f t="shared" si="0"/>
        <v>Nespresso Coffee Maker</v>
      </c>
      <c r="G14" s="13">
        <v>120</v>
      </c>
      <c r="H14" s="2">
        <v>35</v>
      </c>
      <c r="I14" s="2" t="s">
        <v>17</v>
      </c>
      <c r="J14" s="13">
        <f t="shared" si="1"/>
        <v>120</v>
      </c>
      <c r="K14" s="2" t="str">
        <f t="shared" si="2"/>
        <v>Kitchen</v>
      </c>
    </row>
    <row r="15" spans="1:13" ht="15.75" customHeight="1" x14ac:dyDescent="0.2">
      <c r="A15" s="3" t="s">
        <v>45</v>
      </c>
      <c r="B15" s="17">
        <v>18</v>
      </c>
      <c r="C15" s="11" t="s">
        <v>102</v>
      </c>
      <c r="D15" s="7" t="s">
        <v>46</v>
      </c>
      <c r="E15" s="3" t="s">
        <v>47</v>
      </c>
      <c r="F15" s="3" t="str">
        <f t="shared" si="0"/>
        <v>Fitbit Smartwatch</v>
      </c>
      <c r="G15" s="14"/>
      <c r="H15" s="3">
        <v>15</v>
      </c>
      <c r="I15" s="7" t="s">
        <v>9</v>
      </c>
      <c r="J15" s="14">
        <f t="shared" si="1"/>
        <v>297.85714285714283</v>
      </c>
      <c r="K15" s="7" t="str">
        <f t="shared" si="2"/>
        <v>Electronics</v>
      </c>
    </row>
    <row r="16" spans="1:13" ht="15.75" customHeight="1" x14ac:dyDescent="0.2">
      <c r="A16" s="2" t="s">
        <v>48</v>
      </c>
      <c r="B16" s="16">
        <v>16</v>
      </c>
      <c r="C16" s="10" t="s">
        <v>103</v>
      </c>
      <c r="D16" s="8" t="s">
        <v>26</v>
      </c>
      <c r="E16" s="2" t="s">
        <v>49</v>
      </c>
      <c r="F16" s="2" t="str">
        <f t="shared" si="0"/>
        <v>Bose Headphones</v>
      </c>
      <c r="G16" s="13">
        <v>250</v>
      </c>
      <c r="H16" s="2">
        <v>20</v>
      </c>
      <c r="I16" s="2" t="s">
        <v>9</v>
      </c>
      <c r="J16" s="13">
        <f t="shared" si="1"/>
        <v>250</v>
      </c>
      <c r="K16" s="2" t="str">
        <f t="shared" si="2"/>
        <v>Electronics</v>
      </c>
    </row>
    <row r="17" spans="1:11" ht="15.75" customHeight="1" x14ac:dyDescent="0.2">
      <c r="A17" s="3" t="s">
        <v>50</v>
      </c>
      <c r="B17" s="17">
        <v>21</v>
      </c>
      <c r="C17" s="11" t="s">
        <v>102</v>
      </c>
      <c r="D17" s="7" t="s">
        <v>51</v>
      </c>
      <c r="E17" s="3" t="s">
        <v>52</v>
      </c>
      <c r="F17" s="3" t="str">
        <f t="shared" si="0"/>
        <v>Samsonite Laptop Bag</v>
      </c>
      <c r="G17" s="14">
        <v>50</v>
      </c>
      <c r="H17" s="3">
        <v>35</v>
      </c>
      <c r="I17" s="3" t="s">
        <v>53</v>
      </c>
      <c r="J17" s="14">
        <f t="shared" si="1"/>
        <v>50</v>
      </c>
      <c r="K17" s="3" t="str">
        <f t="shared" si="2"/>
        <v>Accessories</v>
      </c>
    </row>
    <row r="18" spans="1:11" ht="15.75" customHeight="1" x14ac:dyDescent="0.2">
      <c r="A18" s="2" t="s">
        <v>54</v>
      </c>
      <c r="B18" s="16">
        <v>20</v>
      </c>
      <c r="C18" s="10" t="s">
        <v>104</v>
      </c>
      <c r="D18" s="8" t="s">
        <v>46</v>
      </c>
      <c r="E18" s="2" t="s">
        <v>55</v>
      </c>
      <c r="F18" s="2" t="str">
        <f t="shared" si="0"/>
        <v>Huawei Smartwatch</v>
      </c>
      <c r="G18" s="13">
        <v>160</v>
      </c>
      <c r="H18" s="2">
        <v>15</v>
      </c>
      <c r="I18" s="2" t="s">
        <v>9</v>
      </c>
      <c r="J18" s="13">
        <f t="shared" si="1"/>
        <v>160</v>
      </c>
      <c r="K18" s="2" t="str">
        <f t="shared" si="2"/>
        <v>Electronics</v>
      </c>
    </row>
    <row r="19" spans="1:11" ht="15.75" customHeight="1" x14ac:dyDescent="0.2">
      <c r="A19" s="3" t="s">
        <v>56</v>
      </c>
      <c r="B19" s="17">
        <v>27</v>
      </c>
      <c r="C19" s="11" t="s">
        <v>105</v>
      </c>
      <c r="D19" s="7" t="s">
        <v>7</v>
      </c>
      <c r="E19" s="3" t="s">
        <v>57</v>
      </c>
      <c r="F19" s="3" t="str">
        <f t="shared" si="0"/>
        <v>Asus Laptop</v>
      </c>
      <c r="G19" s="14">
        <v>980</v>
      </c>
      <c r="H19" s="3">
        <v>10</v>
      </c>
      <c r="I19" s="3" t="s">
        <v>9</v>
      </c>
      <c r="J19" s="14">
        <f t="shared" si="1"/>
        <v>980</v>
      </c>
      <c r="K19" s="3" t="str">
        <f t="shared" si="2"/>
        <v>Electronics</v>
      </c>
    </row>
    <row r="20" spans="1:11" ht="15.75" customHeight="1" x14ac:dyDescent="0.2">
      <c r="A20" s="2" t="s">
        <v>58</v>
      </c>
      <c r="B20" s="16">
        <v>1</v>
      </c>
      <c r="C20" s="10" t="s">
        <v>99</v>
      </c>
      <c r="D20" s="8" t="s">
        <v>59</v>
      </c>
      <c r="E20" s="2" t="s">
        <v>60</v>
      </c>
      <c r="F20" s="2" t="str">
        <f t="shared" si="0"/>
        <v>Oakley Sunglasses</v>
      </c>
      <c r="G20" s="13"/>
      <c r="H20" s="2">
        <v>15</v>
      </c>
      <c r="I20" s="2" t="s">
        <v>13</v>
      </c>
      <c r="J20" s="13">
        <f t="shared" si="1"/>
        <v>297.85714285714283</v>
      </c>
      <c r="K20" s="2" t="str">
        <f t="shared" si="2"/>
        <v>Fashion</v>
      </c>
    </row>
    <row r="21" spans="1:11" ht="15.75" customHeight="1" x14ac:dyDescent="0.2">
      <c r="A21" s="3" t="s">
        <v>61</v>
      </c>
      <c r="B21" s="17">
        <v>14</v>
      </c>
      <c r="C21" s="11" t="s">
        <v>98</v>
      </c>
      <c r="D21" s="7" t="s">
        <v>62</v>
      </c>
      <c r="E21" s="3" t="s">
        <v>63</v>
      </c>
      <c r="F21" s="3" t="str">
        <f t="shared" si="0"/>
        <v>Coleman Camping Tent</v>
      </c>
      <c r="G21" s="14">
        <v>200</v>
      </c>
      <c r="H21" s="3">
        <v>10</v>
      </c>
      <c r="I21" s="3" t="s">
        <v>24</v>
      </c>
      <c r="J21" s="14">
        <f t="shared" si="1"/>
        <v>200</v>
      </c>
      <c r="K21" s="3" t="str">
        <f t="shared" si="2"/>
        <v>Outdoor</v>
      </c>
    </row>
    <row r="22" spans="1:11" ht="15.75" customHeight="1" x14ac:dyDescent="0.2">
      <c r="A22" s="4" t="s">
        <v>61</v>
      </c>
      <c r="B22" s="18">
        <v>14</v>
      </c>
      <c r="C22" s="12" t="s">
        <v>98</v>
      </c>
      <c r="D22" s="8" t="s">
        <v>64</v>
      </c>
      <c r="E22" s="4" t="s">
        <v>63</v>
      </c>
      <c r="F22" s="4" t="str">
        <f t="shared" si="0"/>
        <v>Coleman Camera</v>
      </c>
      <c r="G22" s="15">
        <v>200</v>
      </c>
      <c r="H22" s="4">
        <v>10</v>
      </c>
      <c r="I22" s="4" t="s">
        <v>24</v>
      </c>
      <c r="J22" s="15">
        <f t="shared" si="1"/>
        <v>200</v>
      </c>
      <c r="K22" s="4" t="str">
        <f t="shared" si="2"/>
        <v>Outdoor</v>
      </c>
    </row>
    <row r="23" spans="1:11" ht="15.75" customHeight="1" x14ac:dyDescent="0.2">
      <c r="A23" s="3" t="s">
        <v>65</v>
      </c>
      <c r="B23" s="17">
        <v>9</v>
      </c>
      <c r="C23" s="11" t="s">
        <v>102</v>
      </c>
      <c r="D23" s="7" t="s">
        <v>66</v>
      </c>
      <c r="E23" s="3" t="s">
        <v>67</v>
      </c>
      <c r="F23" s="3" t="str">
        <f t="shared" si="0"/>
        <v>Panasonic Microwave</v>
      </c>
      <c r="G23" s="14">
        <v>80</v>
      </c>
      <c r="H23" s="3">
        <v>20</v>
      </c>
      <c r="I23" s="3" t="s">
        <v>91</v>
      </c>
      <c r="J23" s="14">
        <f t="shared" si="1"/>
        <v>80</v>
      </c>
      <c r="K23" s="3" t="str">
        <f t="shared" si="2"/>
        <v>Kitchenn</v>
      </c>
    </row>
    <row r="24" spans="1:11" ht="15.75" customHeight="1" x14ac:dyDescent="0.2">
      <c r="A24" s="2" t="s">
        <v>68</v>
      </c>
      <c r="B24" s="16">
        <v>19</v>
      </c>
      <c r="C24" s="10" t="s">
        <v>106</v>
      </c>
      <c r="D24" s="8" t="s">
        <v>69</v>
      </c>
      <c r="E24" s="2" t="s">
        <v>70</v>
      </c>
      <c r="F24" s="2" t="str">
        <f t="shared" si="0"/>
        <v>Xiaomi Fitness Tracker</v>
      </c>
      <c r="G24" s="13">
        <v>150</v>
      </c>
      <c r="H24" s="2">
        <v>30</v>
      </c>
      <c r="I24" s="2" t="s">
        <v>9</v>
      </c>
      <c r="J24" s="13">
        <f t="shared" si="1"/>
        <v>150</v>
      </c>
      <c r="K24" s="2" t="str">
        <f t="shared" si="2"/>
        <v>Electronics</v>
      </c>
    </row>
    <row r="25" spans="1:11" ht="15.75" customHeight="1" x14ac:dyDescent="0.2">
      <c r="A25" s="3" t="s">
        <v>50</v>
      </c>
      <c r="B25" s="17">
        <v>21</v>
      </c>
      <c r="C25" s="11" t="s">
        <v>102</v>
      </c>
      <c r="D25" s="7" t="s">
        <v>51</v>
      </c>
      <c r="E25" s="3" t="s">
        <v>52</v>
      </c>
      <c r="F25" s="3" t="str">
        <f t="shared" si="0"/>
        <v>Samsonite Laptop Bag</v>
      </c>
      <c r="G25" s="14"/>
      <c r="H25" s="3">
        <v>35</v>
      </c>
      <c r="I25" s="3" t="s">
        <v>53</v>
      </c>
      <c r="J25" s="14">
        <f t="shared" si="1"/>
        <v>297.85714285714283</v>
      </c>
      <c r="K25" s="3" t="str">
        <f t="shared" si="2"/>
        <v>Accessories</v>
      </c>
    </row>
    <row r="26" spans="1:11" ht="15.75" customHeight="1" x14ac:dyDescent="0.2">
      <c r="A26" s="2" t="s">
        <v>71</v>
      </c>
      <c r="B26" s="16">
        <v>29</v>
      </c>
      <c r="C26" s="10" t="s">
        <v>102</v>
      </c>
      <c r="D26" s="8" t="s">
        <v>19</v>
      </c>
      <c r="E26" s="2" t="s">
        <v>72</v>
      </c>
      <c r="F26" s="2" t="str">
        <f t="shared" si="0"/>
        <v>Google Smartphone</v>
      </c>
      <c r="G26" s="13">
        <v>800</v>
      </c>
      <c r="H26" s="2">
        <v>45</v>
      </c>
      <c r="I26" s="2"/>
      <c r="J26" s="13">
        <f t="shared" si="1"/>
        <v>800</v>
      </c>
      <c r="K26" s="2" t="str">
        <f t="shared" si="2"/>
        <v>Unknown</v>
      </c>
    </row>
    <row r="27" spans="1:11" ht="15.75" customHeight="1" x14ac:dyDescent="0.2">
      <c r="A27" s="3" t="s">
        <v>73</v>
      </c>
      <c r="B27" s="17">
        <v>3</v>
      </c>
      <c r="C27" s="11" t="s">
        <v>102</v>
      </c>
      <c r="D27" s="7" t="s">
        <v>59</v>
      </c>
      <c r="E27" s="3" t="s">
        <v>74</v>
      </c>
      <c r="F27" s="3" t="str">
        <f t="shared" si="0"/>
        <v>Ray-Ban Sunglasses</v>
      </c>
      <c r="G27" s="14">
        <v>130</v>
      </c>
      <c r="H27" s="3">
        <v>25</v>
      </c>
      <c r="I27" s="3" t="s">
        <v>13</v>
      </c>
      <c r="J27" s="14">
        <f t="shared" si="1"/>
        <v>130</v>
      </c>
      <c r="K27" s="3" t="str">
        <f t="shared" si="2"/>
        <v>Fashion</v>
      </c>
    </row>
    <row r="28" spans="1:11" ht="15.75" customHeight="1" x14ac:dyDescent="0.2">
      <c r="A28" s="2" t="s">
        <v>75</v>
      </c>
      <c r="B28" s="16">
        <v>11</v>
      </c>
      <c r="C28" s="10" t="s">
        <v>102</v>
      </c>
      <c r="D28" s="8" t="s">
        <v>32</v>
      </c>
      <c r="E28" s="2" t="s">
        <v>76</v>
      </c>
      <c r="F28" s="2" t="str">
        <f t="shared" si="0"/>
        <v>Vitamix Blender</v>
      </c>
      <c r="G28" s="13">
        <v>400</v>
      </c>
      <c r="H28" s="2">
        <v>40</v>
      </c>
      <c r="I28" s="2" t="s">
        <v>17</v>
      </c>
      <c r="J28" s="13">
        <f t="shared" si="1"/>
        <v>400</v>
      </c>
      <c r="K28" s="2" t="str">
        <f t="shared" si="2"/>
        <v>Kitchen</v>
      </c>
    </row>
    <row r="29" spans="1:11" ht="15.75" customHeight="1" x14ac:dyDescent="0.2">
      <c r="A29" s="3" t="s">
        <v>48</v>
      </c>
      <c r="B29" s="17">
        <v>16</v>
      </c>
      <c r="C29" s="11" t="s">
        <v>103</v>
      </c>
      <c r="D29" s="7" t="s">
        <v>26</v>
      </c>
      <c r="E29" s="3" t="s">
        <v>49</v>
      </c>
      <c r="F29" s="3" t="str">
        <f t="shared" si="0"/>
        <v>Bose Headphones</v>
      </c>
      <c r="G29" s="14">
        <v>230</v>
      </c>
      <c r="H29" s="3">
        <v>20</v>
      </c>
      <c r="I29" s="3" t="s">
        <v>9</v>
      </c>
      <c r="J29" s="14">
        <f t="shared" si="1"/>
        <v>230</v>
      </c>
      <c r="K29" s="3" t="str">
        <f t="shared" si="2"/>
        <v>Electronics</v>
      </c>
    </row>
    <row r="30" spans="1:11" ht="15.75" customHeight="1" x14ac:dyDescent="0.2">
      <c r="A30" s="2" t="s">
        <v>77</v>
      </c>
      <c r="B30" s="16">
        <v>7</v>
      </c>
      <c r="C30" s="10" t="s">
        <v>102</v>
      </c>
      <c r="D30" s="8" t="s">
        <v>78</v>
      </c>
      <c r="E30" s="2" t="s">
        <v>79</v>
      </c>
      <c r="F30" s="2" t="str">
        <f t="shared" si="0"/>
        <v>Zara Dress</v>
      </c>
      <c r="G30" s="13">
        <v>60</v>
      </c>
      <c r="H30" s="2">
        <v>30</v>
      </c>
      <c r="I30" s="2" t="s">
        <v>13</v>
      </c>
      <c r="J30" s="13">
        <f t="shared" si="1"/>
        <v>60</v>
      </c>
      <c r="K30" s="2" t="str">
        <f t="shared" si="2"/>
        <v>Fashion</v>
      </c>
    </row>
    <row r="31" spans="1:11" ht="15.75" customHeight="1" x14ac:dyDescent="0.2">
      <c r="A31" s="3" t="s">
        <v>80</v>
      </c>
      <c r="B31" s="17">
        <v>13</v>
      </c>
      <c r="C31" s="11" t="s">
        <v>102</v>
      </c>
      <c r="D31" s="7" t="s">
        <v>81</v>
      </c>
      <c r="E31" s="3" t="s">
        <v>82</v>
      </c>
      <c r="F31" s="3" t="str">
        <f t="shared" si="0"/>
        <v>Hamilton Toaster</v>
      </c>
      <c r="G31" s="14"/>
      <c r="H31" s="3">
        <v>10</v>
      </c>
      <c r="I31" s="3" t="s">
        <v>17</v>
      </c>
      <c r="J31" s="14">
        <f t="shared" si="1"/>
        <v>297.85714285714283</v>
      </c>
      <c r="K31" s="3" t="str">
        <f t="shared" si="2"/>
        <v>Kitchen</v>
      </c>
    </row>
    <row r="32" spans="1:11" ht="15.75" customHeight="1" x14ac:dyDescent="0.2">
      <c r="A32" s="2" t="s">
        <v>83</v>
      </c>
      <c r="B32" s="16">
        <v>24</v>
      </c>
      <c r="C32" s="10" t="s">
        <v>102</v>
      </c>
      <c r="D32" s="8" t="s">
        <v>69</v>
      </c>
      <c r="E32" s="2" t="s">
        <v>84</v>
      </c>
      <c r="F32" s="2" t="str">
        <f t="shared" si="0"/>
        <v>Garmin Fitness Tracker</v>
      </c>
      <c r="G32" s="13">
        <v>130</v>
      </c>
      <c r="H32" s="2">
        <v>5</v>
      </c>
      <c r="I32" s="2" t="s">
        <v>9</v>
      </c>
      <c r="J32" s="13">
        <f t="shared" si="1"/>
        <v>130</v>
      </c>
      <c r="K32" s="2" t="str">
        <f t="shared" si="2"/>
        <v>Electronics</v>
      </c>
    </row>
    <row r="33" spans="1:11" ht="15.75" customHeight="1" x14ac:dyDescent="0.2">
      <c r="A33" s="3" t="s">
        <v>85</v>
      </c>
      <c r="B33" s="17">
        <v>2</v>
      </c>
      <c r="C33" s="11" t="s">
        <v>102</v>
      </c>
      <c r="D33" s="7" t="s">
        <v>86</v>
      </c>
      <c r="E33" s="3" t="s">
        <v>87</v>
      </c>
      <c r="F33" s="3" t="str">
        <f t="shared" si="0"/>
        <v>Levi's Jeans</v>
      </c>
      <c r="G33" s="14"/>
      <c r="H33" s="3">
        <v>50</v>
      </c>
      <c r="I33" s="3" t="s">
        <v>13</v>
      </c>
      <c r="J33" s="14">
        <f t="shared" si="1"/>
        <v>297.85714285714283</v>
      </c>
      <c r="K33" s="3" t="str">
        <f t="shared" si="2"/>
        <v>Fashion</v>
      </c>
    </row>
    <row r="34" spans="1:11" ht="15.75" customHeight="1" x14ac:dyDescent="0.2">
      <c r="A34" s="2" t="s">
        <v>40</v>
      </c>
      <c r="B34" s="16">
        <v>17</v>
      </c>
      <c r="C34" s="10" t="s">
        <v>107</v>
      </c>
      <c r="D34" s="8" t="s">
        <v>7</v>
      </c>
      <c r="E34" s="2" t="s">
        <v>41</v>
      </c>
      <c r="F34" s="2" t="str">
        <f t="shared" si="0"/>
        <v>HP Laptop</v>
      </c>
      <c r="G34" s="13">
        <v>950</v>
      </c>
      <c r="H34" s="2">
        <v>25</v>
      </c>
      <c r="I34" s="2"/>
      <c r="J34" s="13">
        <f t="shared" si="1"/>
        <v>950</v>
      </c>
      <c r="K34" s="2" t="str">
        <f t="shared" si="2"/>
        <v>Unknown</v>
      </c>
    </row>
    <row r="35" spans="1:11" ht="15.75" customHeight="1" x14ac:dyDescent="0.2">
      <c r="A35" s="3" t="s">
        <v>88</v>
      </c>
      <c r="B35" s="17">
        <v>9</v>
      </c>
      <c r="C35" s="11" t="s">
        <v>108</v>
      </c>
      <c r="D35" s="7" t="s">
        <v>89</v>
      </c>
      <c r="E35" s="3" t="s">
        <v>90</v>
      </c>
      <c r="F35" s="3" t="str">
        <f t="shared" si="0"/>
        <v>Casio Watch</v>
      </c>
      <c r="G35" s="14">
        <v>100</v>
      </c>
      <c r="H35" s="3">
        <v>20</v>
      </c>
      <c r="I35" s="3" t="s">
        <v>53</v>
      </c>
      <c r="J35" s="14">
        <f t="shared" si="1"/>
        <v>100</v>
      </c>
      <c r="K35" s="3" t="str">
        <f t="shared" si="2"/>
        <v>Accessories</v>
      </c>
    </row>
    <row r="36" spans="1:11" ht="15.75" customHeight="1" x14ac:dyDescent="0.2"/>
    <row r="37" spans="1:11" ht="15.75" customHeight="1" x14ac:dyDescent="0.2"/>
    <row r="38" spans="1:11" ht="15.75" customHeight="1" x14ac:dyDescent="0.2"/>
    <row r="39" spans="1:11" ht="15.75" customHeight="1" x14ac:dyDescent="0.2"/>
    <row r="40" spans="1:11" ht="15.75" customHeight="1" x14ac:dyDescent="0.2"/>
    <row r="41" spans="1:11" ht="15.75" customHeight="1" x14ac:dyDescent="0.2"/>
    <row r="42" spans="1:11" ht="15.75" customHeight="1" x14ac:dyDescent="0.2"/>
    <row r="43" spans="1:11" ht="15.75" customHeight="1" x14ac:dyDescent="0.2"/>
    <row r="44" spans="1:11" ht="15.75" customHeight="1" x14ac:dyDescent="0.2"/>
    <row r="45" spans="1:11" ht="15.75" customHeight="1" x14ac:dyDescent="0.2"/>
    <row r="46" spans="1:11" ht="15.75" customHeight="1" x14ac:dyDescent="0.2"/>
    <row r="47" spans="1:11" ht="15.75" customHeight="1" x14ac:dyDescent="0.2"/>
    <row r="48" spans="1:11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conditionalFormatting sqref="J2:J35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{7482D22E-377A-435D-8537-483D02CEF936}</x14:id>
        </ext>
      </extLst>
    </cfRule>
  </conditionalFormatting>
  <conditionalFormatting sqref="K2:K35">
    <cfRule type="cellIs" priority="2" operator="equal">
      <formula>"Electronics"</formula>
    </cfRule>
    <cfRule type="cellIs" dxfId="0" priority="1" operator="equal">
      <formula>"Electronics"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82D22E-377A-435D-8537-483D02CEF93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J2:J35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Arul Doss muthuraj</cp:lastModifiedBy>
  <dcterms:created xsi:type="dcterms:W3CDTF">2026-05-06T16:23:46Z</dcterms:created>
  <dcterms:modified xsi:type="dcterms:W3CDTF">2026-05-06T20:26:57Z</dcterms:modified>
</cp:coreProperties>
</file>